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kolchins_usc_edu/Documents/00_ TIFFANY/ADMIN/FINANCE/PG_Gift Accounts/"/>
    </mc:Choice>
  </mc:AlternateContent>
  <xr:revisionPtr revIDLastSave="1" documentId="8_{5CAE1811-F434-6244-B389-3B182F14B7B6}" xr6:coauthVersionLast="47" xr6:coauthVersionMax="47" xr10:uidLastSave="{9F8B6199-0E53-B34E-84A8-67CC29DF05D7}"/>
  <bookViews>
    <workbookView xWindow="0" yWindow="600" windowWidth="22940" windowHeight="14900" xr2:uid="{00000000-000D-0000-FFFF-FFFF00000000}"/>
  </bookViews>
  <sheets>
    <sheet name="USE THIS " sheetId="2" r:id="rId1"/>
    <sheet name="Budget to Actuals 2.0 - Optimiz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" i="1"/>
</calcChain>
</file>

<file path=xl/sharedStrings.xml><?xml version="1.0" encoding="utf-8"?>
<sst xmlns="http://schemas.openxmlformats.org/spreadsheetml/2006/main" count="77" uniqueCount="43">
  <si>
    <t/>
  </si>
  <si>
    <t>Total</t>
  </si>
  <si>
    <t>Driver PPGG</t>
  </si>
  <si>
    <t>Ledger Account Summary/Ledger Account/Object Class</t>
  </si>
  <si>
    <t>Beginning Balance</t>
  </si>
  <si>
    <t>Budget</t>
  </si>
  <si>
    <t>Period Actuals</t>
  </si>
  <si>
    <t>Actuals</t>
  </si>
  <si>
    <t>Obligations</t>
  </si>
  <si>
    <t>Projected Depreciation (FD11/FD12)</t>
  </si>
  <si>
    <t>Balance</t>
  </si>
  <si>
    <t>PG1040966 Center for Personalized Brain Health</t>
  </si>
  <si>
    <t>600100:Fringe Benefits</t>
  </si>
  <si>
    <t>600200:Faculty Pay</t>
  </si>
  <si>
    <t>600300:Other Salaries &amp; Wages</t>
  </si>
  <si>
    <t>610400:Fees</t>
  </si>
  <si>
    <t>610600:Materials and Supplies</t>
  </si>
  <si>
    <t>611300:Technology Connection</t>
  </si>
  <si>
    <t>612200:Temporary &amp; Contract Employment</t>
  </si>
  <si>
    <t>682000:Financial Aid</t>
  </si>
  <si>
    <t>Sponsored Awards: Fringe_Benefits</t>
  </si>
  <si>
    <t>Sponsored Awards: Personnel_Subject_to_Fringe_Benefits</t>
  </si>
  <si>
    <t>PG1040967 Center for Personalized Brain Health – Programmatic Support</t>
  </si>
  <si>
    <t>174110:Accumulated Depreciation - Equipment</t>
  </si>
  <si>
    <t>500000:Cost of Goods Sold</t>
  </si>
  <si>
    <t>610100:Travel</t>
  </si>
  <si>
    <t>610150:Meetings &amp; Events (Non Travel)</t>
  </si>
  <si>
    <t>610850:Expensed Hardware Materials</t>
  </si>
  <si>
    <t>610920:Digital &amp; Technology Services (Non-Consulting)</t>
  </si>
  <si>
    <t>611000:Purchased Services</t>
  </si>
  <si>
    <t>624000:Depreciation - Equipment</t>
  </si>
  <si>
    <t>PG1040968 Lab Support – Hussein Yassine</t>
  </si>
  <si>
    <t>610800:Other Direct Expenses</t>
  </si>
  <si>
    <t>PPG</t>
  </si>
  <si>
    <t>Row Labels</t>
  </si>
  <si>
    <t xml:space="preserve">PG1040966 </t>
  </si>
  <si>
    <t xml:space="preserve">PG1040967 </t>
  </si>
  <si>
    <t xml:space="preserve">PG1040968 </t>
  </si>
  <si>
    <t>Grand Total</t>
  </si>
  <si>
    <t>Sum of Budget</t>
  </si>
  <si>
    <t>Sum of Obligations</t>
  </si>
  <si>
    <t>Sum of Balance</t>
  </si>
  <si>
    <t>Sum of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</si>
</sst>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5" x14ac:knownFonts="1"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 Kolchins" refreshedDate="46304.423581597221" createdVersion="8" refreshedVersion="8" minRefreshableVersion="3" recordCount="27" xr:uid="{0ACBD21D-17A0-E045-B7A2-B7B8C828E023}">
  <cacheSource type="worksheet">
    <worksheetSource ref="A2:J29" sheet="Budget to Actuals 2.0 - Optimiz"/>
  </cacheSource>
  <cacheFields count="10">
    <cacheField name="PPG" numFmtId="0">
      <sharedItems count="3">
        <s v="PG1040966 "/>
        <s v="PG1040967 "/>
        <s v="PG1040968 "/>
      </sharedItems>
    </cacheField>
    <cacheField name="Driver PPGG" numFmtId="0">
      <sharedItems/>
    </cacheField>
    <cacheField name="Ledger Account Summary/Ledger Account/Object Class" numFmtId="0">
      <sharedItems/>
    </cacheField>
    <cacheField name="Beginning Balance" numFmtId="164">
      <sharedItems containsSemiMixedTypes="0" containsString="0" containsNumber="1" containsInteger="1" minValue="0" maxValue="0"/>
    </cacheField>
    <cacheField name="Budget" numFmtId="164">
      <sharedItems containsSemiMixedTypes="0" containsString="0" containsNumber="1" minValue="-5302" maxValue="254761"/>
    </cacheField>
    <cacheField name="Period Actuals" numFmtId="164">
      <sharedItems containsSemiMixedTypes="0" containsString="0" containsNumber="1" minValue="0" maxValue="4329.2700000000004"/>
    </cacheField>
    <cacheField name="Actuals" numFmtId="164">
      <sharedItems containsSemiMixedTypes="0" containsString="0" containsNumber="1" minValue="-424.53" maxValue="109680.99"/>
    </cacheField>
    <cacheField name="Obligations" numFmtId="164">
      <sharedItems containsSemiMixedTypes="0" containsString="0" containsNumber="1" minValue="-5533.92" maxValue="196124.25"/>
    </cacheField>
    <cacheField name="Projected Depreciation (FD11/FD12)" numFmtId="164">
      <sharedItems containsSemiMixedTypes="0" containsString="0" containsNumber="1" containsInteger="1" minValue="0" maxValue="0"/>
    </cacheField>
    <cacheField name="Balance" numFmtId="164">
      <sharedItems containsSemiMixedTypes="0" containsString="0" containsNumber="1" minValue="-116289.24" maxValue="171364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G1040966 Center for Personalized Brain Health"/>
    <s v="600100:Fringe Benefits"/>
    <n v="0"/>
    <n v="148833"/>
    <n v="447.77"/>
    <n v="40875.32"/>
    <n v="107344.37"/>
    <n v="0"/>
    <n v="613.30999999999995"/>
  </r>
  <r>
    <x v="0"/>
    <s v="PG1040966 Center for Personalized Brain Health"/>
    <s v="600200:Faculty Pay"/>
    <n v="0"/>
    <n v="254761"/>
    <n v="0"/>
    <n v="47341.71"/>
    <n v="124306.9"/>
    <n v="0"/>
    <n v="83112.39"/>
  </r>
  <r>
    <x v="0"/>
    <s v="PG1040966 Center for Personalized Brain Health"/>
    <s v="600300:Other Salaries &amp; Wages"/>
    <n v="0"/>
    <n v="189516"/>
    <n v="1001.59"/>
    <n v="109680.99"/>
    <n v="196124.25"/>
    <n v="0"/>
    <n v="-116289.24"/>
  </r>
  <r>
    <x v="0"/>
    <s v="PG1040966 Center for Personalized Brain Health"/>
    <s v="610400:Fees"/>
    <n v="0"/>
    <n v="0"/>
    <n v="0"/>
    <n v="606"/>
    <n v="0"/>
    <n v="0"/>
    <n v="-606"/>
  </r>
  <r>
    <x v="0"/>
    <s v="PG1040966 Center for Personalized Brain Health"/>
    <s v="610600:Materials and Supplies"/>
    <n v="0"/>
    <n v="95808.6"/>
    <n v="0"/>
    <n v="0"/>
    <n v="0"/>
    <n v="0"/>
    <n v="95808.6"/>
  </r>
  <r>
    <x v="0"/>
    <s v="PG1040966 Center for Personalized Brain Health"/>
    <s v="611300:Technology Connection"/>
    <n v="0"/>
    <n v="24000"/>
    <n v="0"/>
    <n v="0"/>
    <n v="0"/>
    <n v="0"/>
    <n v="24000"/>
  </r>
  <r>
    <x v="0"/>
    <s v="PG1040966 Center for Personalized Brain Health"/>
    <s v="612200:Temporary &amp; Contract Employment"/>
    <n v="0"/>
    <n v="170004"/>
    <n v="0"/>
    <n v="4173.12"/>
    <n v="-5533.92"/>
    <n v="0"/>
    <n v="171364.8"/>
  </r>
  <r>
    <x v="0"/>
    <s v="PG1040966 Center for Personalized Brain Health"/>
    <s v="682000:Financial Aid"/>
    <n v="0"/>
    <n v="0"/>
    <n v="0"/>
    <n v="6354"/>
    <n v="0"/>
    <n v="0"/>
    <n v="-6354"/>
  </r>
  <r>
    <x v="0"/>
    <s v="PG1040966 Center for Personalized Brain Health"/>
    <s v="Sponsored Awards: Fringe_Benefits"/>
    <n v="0"/>
    <n v="0"/>
    <n v="0"/>
    <n v="4111.7"/>
    <n v="16306.3"/>
    <n v="0"/>
    <n v="-20418"/>
  </r>
  <r>
    <x v="0"/>
    <s v="PG1040966 Center for Personalized Brain Health"/>
    <s v="Sponsored Awards: Personnel_Subject_to_Fringe_Benefits"/>
    <n v="0"/>
    <n v="0"/>
    <n v="0"/>
    <n v="12273.75"/>
    <n v="48675.59"/>
    <n v="0"/>
    <n v="-60949.34"/>
  </r>
  <r>
    <x v="1"/>
    <s v="PG1040967 Center for Personalized Brain Health – Programmatic Support"/>
    <s v="174110:Accumulated Depreciation - Equipment"/>
    <n v="0"/>
    <n v="0"/>
    <n v="0"/>
    <n v="0"/>
    <n v="0"/>
    <n v="0"/>
    <n v="0"/>
  </r>
  <r>
    <x v="1"/>
    <s v="PG1040967 Center for Personalized Brain Health – Programmatic Support"/>
    <s v="500000:Cost of Goods Sold"/>
    <n v="0"/>
    <n v="0"/>
    <n v="4329.2700000000004"/>
    <n v="13607.87"/>
    <n v="0"/>
    <n v="0"/>
    <n v="-13607.87"/>
  </r>
  <r>
    <x v="1"/>
    <s v="PG1040967 Center for Personalized Brain Health – Programmatic Support"/>
    <s v="610100:Travel"/>
    <n v="0"/>
    <n v="0"/>
    <n v="0"/>
    <n v="0"/>
    <n v="414.85"/>
    <n v="0"/>
    <n v="-414.85"/>
  </r>
  <r>
    <x v="1"/>
    <s v="PG1040967 Center for Personalized Brain Health – Programmatic Support"/>
    <s v="610150:Meetings &amp; Events (Non Travel)"/>
    <n v="0"/>
    <n v="0"/>
    <n v="0"/>
    <n v="0"/>
    <n v="4731.91"/>
    <n v="0"/>
    <n v="-4731.91"/>
  </r>
  <r>
    <x v="1"/>
    <s v="PG1040967 Center for Personalized Brain Health – Programmatic Support"/>
    <s v="610600:Materials and Supplies"/>
    <n v="0"/>
    <n v="52136.639999999999"/>
    <n v="0"/>
    <n v="479.82"/>
    <n v="0"/>
    <n v="0"/>
    <n v="51656.82"/>
  </r>
  <r>
    <x v="1"/>
    <s v="PG1040967 Center for Personalized Brain Health – Programmatic Support"/>
    <s v="610850:Expensed Hardware Materials"/>
    <n v="0"/>
    <n v="15444"/>
    <n v="0"/>
    <n v="0"/>
    <n v="0"/>
    <n v="0"/>
    <n v="15444"/>
  </r>
  <r>
    <x v="1"/>
    <s v="PG1040967 Center for Personalized Brain Health – Programmatic Support"/>
    <s v="610920:Digital &amp; Technology Services (Non-Consulting)"/>
    <n v="0"/>
    <n v="0"/>
    <n v="0"/>
    <n v="79.5"/>
    <n v="0"/>
    <n v="0"/>
    <n v="-79.5"/>
  </r>
  <r>
    <x v="1"/>
    <s v="PG1040967 Center for Personalized Brain Health – Programmatic Support"/>
    <s v="611000:Purchased Services"/>
    <n v="0"/>
    <n v="0"/>
    <n v="0"/>
    <n v="151.44999999999999"/>
    <n v="0"/>
    <n v="0"/>
    <n v="-151.44999999999999"/>
  </r>
  <r>
    <x v="1"/>
    <s v="PG1040967 Center for Personalized Brain Health – Programmatic Support"/>
    <s v="624000:Depreciation - Equipment"/>
    <n v="0"/>
    <n v="0"/>
    <n v="0"/>
    <n v="3859.57"/>
    <n v="0"/>
    <n v="0"/>
    <n v="-3859.57"/>
  </r>
  <r>
    <x v="2"/>
    <s v="PG1040968 Lab Support – Hussein Yassine"/>
    <s v="600100:Fringe Benefits"/>
    <n v="0"/>
    <n v="0"/>
    <n v="0"/>
    <n v="8.5299999999999994"/>
    <n v="0"/>
    <n v="0"/>
    <n v="-8.5299999999999994"/>
  </r>
  <r>
    <x v="2"/>
    <s v="PG1040968 Lab Support – Hussein Yassine"/>
    <s v="600200:Faculty Pay"/>
    <n v="0"/>
    <n v="-5302"/>
    <n v="0"/>
    <n v="0"/>
    <n v="0"/>
    <n v="0"/>
    <n v="-5302"/>
  </r>
  <r>
    <x v="2"/>
    <s v="PG1040968 Lab Support – Hussein Yassine"/>
    <s v="600300:Other Salaries &amp; Wages"/>
    <n v="0"/>
    <n v="5302"/>
    <n v="0"/>
    <n v="-424.53"/>
    <n v="0"/>
    <n v="0"/>
    <n v="5726.53"/>
  </r>
  <r>
    <x v="2"/>
    <s v="PG1040968 Lab Support – Hussein Yassine"/>
    <s v="610100:Travel"/>
    <n v="0"/>
    <n v="0"/>
    <n v="0"/>
    <n v="438.21"/>
    <n v="0"/>
    <n v="0"/>
    <n v="-438.21"/>
  </r>
  <r>
    <x v="2"/>
    <s v="PG1040968 Lab Support – Hussein Yassine"/>
    <s v="610400:Fees"/>
    <n v="0"/>
    <n v="0"/>
    <n v="430.5"/>
    <n v="533"/>
    <n v="0"/>
    <n v="0"/>
    <n v="-533"/>
  </r>
  <r>
    <x v="2"/>
    <s v="PG1040968 Lab Support – Hussein Yassine"/>
    <s v="610600:Materials and Supplies"/>
    <n v="0"/>
    <n v="49504.800000000003"/>
    <n v="0"/>
    <n v="7051.81"/>
    <n v="0"/>
    <n v="0"/>
    <n v="42452.99"/>
  </r>
  <r>
    <x v="2"/>
    <s v="PG1040968 Lab Support – Hussein Yassine"/>
    <s v="610800:Other Direct Expenses"/>
    <n v="0"/>
    <n v="0"/>
    <n v="0"/>
    <n v="649.59"/>
    <n v="0"/>
    <n v="0"/>
    <n v="-649.59"/>
  </r>
  <r>
    <x v="2"/>
    <s v="PG1040968 Lab Support – Hussein Yassine"/>
    <s v="611000:Purchased Services"/>
    <n v="0"/>
    <n v="0"/>
    <n v="0"/>
    <n v="720"/>
    <n v="0"/>
    <n v="0"/>
    <n v="-7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CCC2B-D508-6D4A-B53D-F32F5C7298F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  <pivotField numFmtId="164" showAll="0"/>
    <pivotField dataField="1"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udget" fld="4" baseField="0" baseItem="0" numFmtId="164"/>
    <dataField name="Sum of Actuals" fld="6" baseField="0" baseItem="0" numFmtId="164"/>
    <dataField name="Sum of Obligations" fld="7" baseField="0" baseItem="0" numFmtId="164"/>
    <dataField name="Sum of Balanc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178A-5A11-A145-8C2A-A1CFB3A43D19}">
  <dimension ref="A3:E7"/>
  <sheetViews>
    <sheetView tabSelected="1" workbookViewId="0">
      <selection activeCell="B36" sqref="B36"/>
    </sheetView>
  </sheetViews>
  <sheetFormatPr baseColWidth="10" defaultRowHeight="13" x14ac:dyDescent="0.15"/>
  <cols>
    <col min="1" max="1" width="13.1640625" bestFit="1" customWidth="1"/>
    <col min="2" max="2" width="13" bestFit="1" customWidth="1"/>
    <col min="3" max="3" width="13.5" bestFit="1" customWidth="1"/>
    <col min="4" max="4" width="16.83203125" bestFit="1" customWidth="1"/>
    <col min="5" max="6" width="14" bestFit="1" customWidth="1"/>
  </cols>
  <sheetData>
    <row r="3" spans="1:5" x14ac:dyDescent="0.15">
      <c r="A3" s="6" t="s">
        <v>34</v>
      </c>
      <c r="B3" t="s">
        <v>39</v>
      </c>
      <c r="C3" t="s">
        <v>42</v>
      </c>
      <c r="D3" t="s">
        <v>40</v>
      </c>
      <c r="E3" t="s">
        <v>41</v>
      </c>
    </row>
    <row r="4" spans="1:5" x14ac:dyDescent="0.15">
      <c r="A4" s="7" t="s">
        <v>35</v>
      </c>
      <c r="B4" s="8">
        <v>882922.6</v>
      </c>
      <c r="C4" s="8">
        <v>225416.59000000003</v>
      </c>
      <c r="D4" s="8">
        <v>487223.49</v>
      </c>
      <c r="E4" s="8">
        <v>170282.52</v>
      </c>
    </row>
    <row r="5" spans="1:5" x14ac:dyDescent="0.15">
      <c r="A5" s="7" t="s">
        <v>36</v>
      </c>
      <c r="B5" s="8">
        <v>67580.639999999999</v>
      </c>
      <c r="C5" s="8">
        <v>18178.210000000003</v>
      </c>
      <c r="D5" s="8">
        <v>5146.76</v>
      </c>
      <c r="E5" s="8">
        <v>44255.670000000006</v>
      </c>
    </row>
    <row r="6" spans="1:5" x14ac:dyDescent="0.15">
      <c r="A6" s="7" t="s">
        <v>37</v>
      </c>
      <c r="B6" s="8">
        <v>49504.800000000003</v>
      </c>
      <c r="C6" s="8">
        <v>8976.61</v>
      </c>
      <c r="D6" s="8">
        <v>0</v>
      </c>
      <c r="E6" s="8">
        <v>40528.19</v>
      </c>
    </row>
    <row r="7" spans="1:5" x14ac:dyDescent="0.15">
      <c r="A7" s="7" t="s">
        <v>38</v>
      </c>
      <c r="B7" s="8">
        <v>1000008.04</v>
      </c>
      <c r="C7" s="8">
        <v>252571.41000000003</v>
      </c>
      <c r="D7" s="8">
        <v>492370.25</v>
      </c>
      <c r="E7" s="8">
        <v>255066.38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B17" workbookViewId="0">
      <selection activeCell="A2" sqref="A2:J29"/>
    </sheetView>
  </sheetViews>
  <sheetFormatPr baseColWidth="10" defaultColWidth="8.83203125" defaultRowHeight="13" x14ac:dyDescent="0.15"/>
  <cols>
    <col min="1" max="1" width="13.6640625" customWidth="1"/>
    <col min="2" max="10" width="23" customWidth="1"/>
  </cols>
  <sheetData>
    <row r="1" spans="1:10" ht="14" x14ac:dyDescent="0.15">
      <c r="B1" s="1" t="s">
        <v>0</v>
      </c>
      <c r="C1" s="1" t="s">
        <v>0</v>
      </c>
      <c r="D1" s="5" t="s">
        <v>1</v>
      </c>
      <c r="E1" s="5"/>
      <c r="F1" s="5"/>
      <c r="G1" s="5"/>
      <c r="H1" s="5"/>
      <c r="I1" s="5"/>
      <c r="J1" s="5"/>
    </row>
    <row r="2" spans="1:10" ht="42" x14ac:dyDescent="0.15">
      <c r="A2" t="s">
        <v>33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8" x14ac:dyDescent="0.15">
      <c r="A3" t="str">
        <f>LEFT(B3,10)</f>
        <v xml:space="preserve">PG1040966 </v>
      </c>
      <c r="B3" s="2" t="s">
        <v>11</v>
      </c>
      <c r="C3" s="2" t="s">
        <v>12</v>
      </c>
      <c r="D3" s="3">
        <v>0</v>
      </c>
      <c r="E3" s="4">
        <v>148833</v>
      </c>
      <c r="F3" s="4">
        <v>447.77</v>
      </c>
      <c r="G3" s="4">
        <v>40875.32</v>
      </c>
      <c r="H3" s="4">
        <v>107344.37</v>
      </c>
      <c r="I3" s="3">
        <v>0</v>
      </c>
      <c r="J3" s="4">
        <v>613.30999999999995</v>
      </c>
    </row>
    <row r="4" spans="1:10" ht="28" x14ac:dyDescent="0.15">
      <c r="A4" t="str">
        <f t="shared" ref="A4:A30" si="0">LEFT(B4,10)</f>
        <v xml:space="preserve">PG1040966 </v>
      </c>
      <c r="B4" s="2" t="s">
        <v>11</v>
      </c>
      <c r="C4" s="2" t="s">
        <v>13</v>
      </c>
      <c r="D4" s="3">
        <v>0</v>
      </c>
      <c r="E4" s="4">
        <v>254761</v>
      </c>
      <c r="F4" s="3">
        <v>0</v>
      </c>
      <c r="G4" s="4">
        <v>47341.71</v>
      </c>
      <c r="H4" s="4">
        <v>124306.9</v>
      </c>
      <c r="I4" s="3">
        <v>0</v>
      </c>
      <c r="J4" s="4">
        <v>83112.39</v>
      </c>
    </row>
    <row r="5" spans="1:10" ht="28" x14ac:dyDescent="0.15">
      <c r="A5" t="str">
        <f t="shared" si="0"/>
        <v xml:space="preserve">PG1040966 </v>
      </c>
      <c r="B5" s="2" t="s">
        <v>11</v>
      </c>
      <c r="C5" s="2" t="s">
        <v>14</v>
      </c>
      <c r="D5" s="3">
        <v>0</v>
      </c>
      <c r="E5" s="4">
        <v>189516</v>
      </c>
      <c r="F5" s="4">
        <v>1001.59</v>
      </c>
      <c r="G5" s="4">
        <v>109680.99</v>
      </c>
      <c r="H5" s="4">
        <v>196124.25</v>
      </c>
      <c r="I5" s="3">
        <v>0</v>
      </c>
      <c r="J5" s="4">
        <v>-116289.24</v>
      </c>
    </row>
    <row r="6" spans="1:10" ht="28" x14ac:dyDescent="0.15">
      <c r="A6" t="str">
        <f t="shared" si="0"/>
        <v xml:space="preserve">PG1040966 </v>
      </c>
      <c r="B6" s="2" t="s">
        <v>11</v>
      </c>
      <c r="C6" s="2" t="s">
        <v>15</v>
      </c>
      <c r="D6" s="3">
        <v>0</v>
      </c>
      <c r="E6" s="3">
        <v>0</v>
      </c>
      <c r="F6" s="3">
        <v>0</v>
      </c>
      <c r="G6" s="4">
        <v>606</v>
      </c>
      <c r="H6" s="3">
        <v>0</v>
      </c>
      <c r="I6" s="3">
        <v>0</v>
      </c>
      <c r="J6" s="4">
        <v>-606</v>
      </c>
    </row>
    <row r="7" spans="1:10" ht="28" x14ac:dyDescent="0.15">
      <c r="A7" t="str">
        <f t="shared" si="0"/>
        <v xml:space="preserve">PG1040966 </v>
      </c>
      <c r="B7" s="2" t="s">
        <v>11</v>
      </c>
      <c r="C7" s="2" t="s">
        <v>16</v>
      </c>
      <c r="D7" s="3">
        <v>0</v>
      </c>
      <c r="E7" s="4">
        <v>95808.6</v>
      </c>
      <c r="F7" s="3">
        <v>0</v>
      </c>
      <c r="G7" s="3">
        <v>0</v>
      </c>
      <c r="H7" s="3">
        <v>0</v>
      </c>
      <c r="I7" s="3">
        <v>0</v>
      </c>
      <c r="J7" s="4">
        <v>95808.6</v>
      </c>
    </row>
    <row r="8" spans="1:10" ht="28" x14ac:dyDescent="0.15">
      <c r="A8" t="str">
        <f t="shared" si="0"/>
        <v xml:space="preserve">PG1040966 </v>
      </c>
      <c r="B8" s="2" t="s">
        <v>11</v>
      </c>
      <c r="C8" s="2" t="s">
        <v>17</v>
      </c>
      <c r="D8" s="3">
        <v>0</v>
      </c>
      <c r="E8" s="4">
        <v>24000</v>
      </c>
      <c r="F8" s="3">
        <v>0</v>
      </c>
      <c r="G8" s="3">
        <v>0</v>
      </c>
      <c r="H8" s="3">
        <v>0</v>
      </c>
      <c r="I8" s="3">
        <v>0</v>
      </c>
      <c r="J8" s="4">
        <v>24000</v>
      </c>
    </row>
    <row r="9" spans="1:10" ht="28" x14ac:dyDescent="0.15">
      <c r="A9" t="str">
        <f t="shared" si="0"/>
        <v xml:space="preserve">PG1040966 </v>
      </c>
      <c r="B9" s="2" t="s">
        <v>11</v>
      </c>
      <c r="C9" s="2" t="s">
        <v>18</v>
      </c>
      <c r="D9" s="3">
        <v>0</v>
      </c>
      <c r="E9" s="4">
        <v>170004</v>
      </c>
      <c r="F9" s="3">
        <v>0</v>
      </c>
      <c r="G9" s="4">
        <v>4173.12</v>
      </c>
      <c r="H9" s="4">
        <v>-5533.92</v>
      </c>
      <c r="I9" s="3">
        <v>0</v>
      </c>
      <c r="J9" s="4">
        <v>171364.8</v>
      </c>
    </row>
    <row r="10" spans="1:10" ht="28" x14ac:dyDescent="0.15">
      <c r="A10" t="str">
        <f t="shared" si="0"/>
        <v xml:space="preserve">PG1040966 </v>
      </c>
      <c r="B10" s="2" t="s">
        <v>11</v>
      </c>
      <c r="C10" s="2" t="s">
        <v>19</v>
      </c>
      <c r="D10" s="3">
        <v>0</v>
      </c>
      <c r="E10" s="3">
        <v>0</v>
      </c>
      <c r="F10" s="3">
        <v>0</v>
      </c>
      <c r="G10" s="4">
        <v>6354</v>
      </c>
      <c r="H10" s="3">
        <v>0</v>
      </c>
      <c r="I10" s="3">
        <v>0</v>
      </c>
      <c r="J10" s="4">
        <v>-6354</v>
      </c>
    </row>
    <row r="11" spans="1:10" ht="28" x14ac:dyDescent="0.15">
      <c r="A11" t="str">
        <f t="shared" si="0"/>
        <v xml:space="preserve">PG1040966 </v>
      </c>
      <c r="B11" s="2" t="s">
        <v>11</v>
      </c>
      <c r="C11" s="2" t="s">
        <v>20</v>
      </c>
      <c r="D11" s="3">
        <v>0</v>
      </c>
      <c r="E11" s="3">
        <v>0</v>
      </c>
      <c r="F11" s="3">
        <v>0</v>
      </c>
      <c r="G11" s="4">
        <v>4111.7</v>
      </c>
      <c r="H11" s="4">
        <v>16306.3</v>
      </c>
      <c r="I11" s="3">
        <v>0</v>
      </c>
      <c r="J11" s="4">
        <v>-20418</v>
      </c>
    </row>
    <row r="12" spans="1:10" ht="42" x14ac:dyDescent="0.15">
      <c r="A12" t="str">
        <f t="shared" si="0"/>
        <v xml:space="preserve">PG1040966 </v>
      </c>
      <c r="B12" s="2" t="s">
        <v>11</v>
      </c>
      <c r="C12" s="2" t="s">
        <v>21</v>
      </c>
      <c r="D12" s="3">
        <v>0</v>
      </c>
      <c r="E12" s="3">
        <v>0</v>
      </c>
      <c r="F12" s="3">
        <v>0</v>
      </c>
      <c r="G12" s="4">
        <v>12273.75</v>
      </c>
      <c r="H12" s="4">
        <v>48675.59</v>
      </c>
      <c r="I12" s="3">
        <v>0</v>
      </c>
      <c r="J12" s="4">
        <v>-60949.34</v>
      </c>
    </row>
    <row r="13" spans="1:10" ht="42" x14ac:dyDescent="0.15">
      <c r="A13" t="str">
        <f t="shared" si="0"/>
        <v xml:space="preserve">PG1040967 </v>
      </c>
      <c r="B13" s="2" t="s">
        <v>22</v>
      </c>
      <c r="C13" s="2" t="s">
        <v>23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0</v>
      </c>
    </row>
    <row r="14" spans="1:10" ht="42" x14ac:dyDescent="0.15">
      <c r="A14" t="str">
        <f t="shared" si="0"/>
        <v xml:space="preserve">PG1040967 </v>
      </c>
      <c r="B14" s="2" t="s">
        <v>22</v>
      </c>
      <c r="C14" s="2" t="s">
        <v>24</v>
      </c>
      <c r="D14" s="3">
        <v>0</v>
      </c>
      <c r="E14" s="3">
        <v>0</v>
      </c>
      <c r="F14" s="4">
        <v>4329.2700000000004</v>
      </c>
      <c r="G14" s="4">
        <v>13607.87</v>
      </c>
      <c r="H14" s="3">
        <v>0</v>
      </c>
      <c r="I14" s="3">
        <v>0</v>
      </c>
      <c r="J14" s="4">
        <v>-13607.87</v>
      </c>
    </row>
    <row r="15" spans="1:10" ht="42" x14ac:dyDescent="0.15">
      <c r="A15" t="str">
        <f t="shared" si="0"/>
        <v xml:space="preserve">PG1040967 </v>
      </c>
      <c r="B15" s="2" t="s">
        <v>22</v>
      </c>
      <c r="C15" s="2" t="s">
        <v>25</v>
      </c>
      <c r="D15" s="3">
        <v>0</v>
      </c>
      <c r="E15" s="3">
        <v>0</v>
      </c>
      <c r="F15" s="3">
        <v>0</v>
      </c>
      <c r="G15" s="3">
        <v>0</v>
      </c>
      <c r="H15" s="4">
        <v>414.85</v>
      </c>
      <c r="I15" s="3">
        <v>0</v>
      </c>
      <c r="J15" s="4">
        <v>-414.85</v>
      </c>
    </row>
    <row r="16" spans="1:10" ht="42" x14ac:dyDescent="0.15">
      <c r="A16" t="str">
        <f t="shared" si="0"/>
        <v xml:space="preserve">PG1040967 </v>
      </c>
      <c r="B16" s="2" t="s">
        <v>22</v>
      </c>
      <c r="C16" s="2" t="s">
        <v>26</v>
      </c>
      <c r="D16" s="3">
        <v>0</v>
      </c>
      <c r="E16" s="3">
        <v>0</v>
      </c>
      <c r="F16" s="3">
        <v>0</v>
      </c>
      <c r="G16" s="4">
        <v>0</v>
      </c>
      <c r="H16" s="4">
        <v>4731.91</v>
      </c>
      <c r="I16" s="3">
        <v>0</v>
      </c>
      <c r="J16" s="4">
        <v>-4731.91</v>
      </c>
    </row>
    <row r="17" spans="1:10" ht="42" x14ac:dyDescent="0.15">
      <c r="A17" t="str">
        <f t="shared" si="0"/>
        <v xml:space="preserve">PG1040967 </v>
      </c>
      <c r="B17" s="2" t="s">
        <v>22</v>
      </c>
      <c r="C17" s="2" t="s">
        <v>16</v>
      </c>
      <c r="D17" s="3">
        <v>0</v>
      </c>
      <c r="E17" s="4">
        <v>52136.639999999999</v>
      </c>
      <c r="F17" s="3">
        <v>0</v>
      </c>
      <c r="G17" s="4">
        <v>479.82</v>
      </c>
      <c r="H17" s="3">
        <v>0</v>
      </c>
      <c r="I17" s="3">
        <v>0</v>
      </c>
      <c r="J17" s="4">
        <v>51656.82</v>
      </c>
    </row>
    <row r="18" spans="1:10" ht="42" x14ac:dyDescent="0.15">
      <c r="A18" t="str">
        <f t="shared" si="0"/>
        <v xml:space="preserve">PG1040967 </v>
      </c>
      <c r="B18" s="2" t="s">
        <v>22</v>
      </c>
      <c r="C18" s="2" t="s">
        <v>27</v>
      </c>
      <c r="D18" s="3">
        <v>0</v>
      </c>
      <c r="E18" s="4">
        <v>15444</v>
      </c>
      <c r="F18" s="3">
        <v>0</v>
      </c>
      <c r="G18" s="3">
        <v>0</v>
      </c>
      <c r="H18" s="3">
        <v>0</v>
      </c>
      <c r="I18" s="3">
        <v>0</v>
      </c>
      <c r="J18" s="4">
        <v>15444</v>
      </c>
    </row>
    <row r="19" spans="1:10" ht="42" x14ac:dyDescent="0.15">
      <c r="A19" t="str">
        <f t="shared" si="0"/>
        <v xml:space="preserve">PG1040967 </v>
      </c>
      <c r="B19" s="2" t="s">
        <v>22</v>
      </c>
      <c r="C19" s="2" t="s">
        <v>28</v>
      </c>
      <c r="D19" s="3">
        <v>0</v>
      </c>
      <c r="E19" s="3">
        <v>0</v>
      </c>
      <c r="F19" s="3">
        <v>0</v>
      </c>
      <c r="G19" s="4">
        <v>79.5</v>
      </c>
      <c r="H19" s="3">
        <v>0</v>
      </c>
      <c r="I19" s="3">
        <v>0</v>
      </c>
      <c r="J19" s="4">
        <v>-79.5</v>
      </c>
    </row>
    <row r="20" spans="1:10" ht="42" x14ac:dyDescent="0.15">
      <c r="A20" t="str">
        <f t="shared" si="0"/>
        <v xml:space="preserve">PG1040967 </v>
      </c>
      <c r="B20" s="2" t="s">
        <v>22</v>
      </c>
      <c r="C20" s="2" t="s">
        <v>29</v>
      </c>
      <c r="D20" s="3">
        <v>0</v>
      </c>
      <c r="E20" s="3">
        <v>0</v>
      </c>
      <c r="F20" s="3">
        <v>0</v>
      </c>
      <c r="G20" s="4">
        <v>151.44999999999999</v>
      </c>
      <c r="H20" s="3">
        <v>0</v>
      </c>
      <c r="I20" s="3">
        <v>0</v>
      </c>
      <c r="J20" s="4">
        <v>-151.44999999999999</v>
      </c>
    </row>
    <row r="21" spans="1:10" ht="42" x14ac:dyDescent="0.15">
      <c r="A21" t="str">
        <f t="shared" si="0"/>
        <v xml:space="preserve">PG1040967 </v>
      </c>
      <c r="B21" s="2" t="s">
        <v>22</v>
      </c>
      <c r="C21" s="2" t="s">
        <v>30</v>
      </c>
      <c r="D21" s="3">
        <v>0</v>
      </c>
      <c r="E21" s="3">
        <v>0</v>
      </c>
      <c r="F21" s="3">
        <v>0</v>
      </c>
      <c r="G21" s="4">
        <v>3859.57</v>
      </c>
      <c r="H21" s="3">
        <v>0</v>
      </c>
      <c r="I21" s="3">
        <v>0</v>
      </c>
      <c r="J21" s="4">
        <v>-3859.57</v>
      </c>
    </row>
    <row r="22" spans="1:10" ht="28" x14ac:dyDescent="0.15">
      <c r="A22" t="str">
        <f t="shared" si="0"/>
        <v xml:space="preserve">PG1040968 </v>
      </c>
      <c r="B22" s="2" t="s">
        <v>31</v>
      </c>
      <c r="C22" s="2" t="s">
        <v>12</v>
      </c>
      <c r="D22" s="3">
        <v>0</v>
      </c>
      <c r="E22" s="3">
        <v>0</v>
      </c>
      <c r="F22" s="3">
        <v>0</v>
      </c>
      <c r="G22" s="4">
        <v>8.5299999999999994</v>
      </c>
      <c r="H22" s="3">
        <v>0</v>
      </c>
      <c r="I22" s="3">
        <v>0</v>
      </c>
      <c r="J22" s="4">
        <v>-8.5299999999999994</v>
      </c>
    </row>
    <row r="23" spans="1:10" ht="28" x14ac:dyDescent="0.15">
      <c r="A23" t="str">
        <f t="shared" si="0"/>
        <v xml:space="preserve">PG1040968 </v>
      </c>
      <c r="B23" s="2" t="s">
        <v>31</v>
      </c>
      <c r="C23" s="2" t="s">
        <v>13</v>
      </c>
      <c r="D23" s="3">
        <v>0</v>
      </c>
      <c r="E23" s="4">
        <v>-5302</v>
      </c>
      <c r="F23" s="3">
        <v>0</v>
      </c>
      <c r="G23" s="3">
        <v>0</v>
      </c>
      <c r="H23" s="3">
        <v>0</v>
      </c>
      <c r="I23" s="3">
        <v>0</v>
      </c>
      <c r="J23" s="4">
        <v>-5302</v>
      </c>
    </row>
    <row r="24" spans="1:10" ht="28" x14ac:dyDescent="0.15">
      <c r="A24" t="str">
        <f t="shared" si="0"/>
        <v xml:space="preserve">PG1040968 </v>
      </c>
      <c r="B24" s="2" t="s">
        <v>31</v>
      </c>
      <c r="C24" s="2" t="s">
        <v>14</v>
      </c>
      <c r="D24" s="3">
        <v>0</v>
      </c>
      <c r="E24" s="4">
        <v>5302</v>
      </c>
      <c r="F24" s="3">
        <v>0</v>
      </c>
      <c r="G24" s="4">
        <v>-424.53</v>
      </c>
      <c r="H24" s="3">
        <v>0</v>
      </c>
      <c r="I24" s="3">
        <v>0</v>
      </c>
      <c r="J24" s="4">
        <v>5726.53</v>
      </c>
    </row>
    <row r="25" spans="1:10" ht="28" x14ac:dyDescent="0.15">
      <c r="A25" t="str">
        <f t="shared" si="0"/>
        <v xml:space="preserve">PG1040968 </v>
      </c>
      <c r="B25" s="2" t="s">
        <v>31</v>
      </c>
      <c r="C25" s="2" t="s">
        <v>25</v>
      </c>
      <c r="D25" s="3">
        <v>0</v>
      </c>
      <c r="E25" s="3">
        <v>0</v>
      </c>
      <c r="F25" s="3">
        <v>0</v>
      </c>
      <c r="G25" s="4">
        <v>438.21</v>
      </c>
      <c r="H25" s="3">
        <v>0</v>
      </c>
      <c r="I25" s="3">
        <v>0</v>
      </c>
      <c r="J25" s="4">
        <v>-438.21</v>
      </c>
    </row>
    <row r="26" spans="1:10" ht="28" x14ac:dyDescent="0.15">
      <c r="A26" t="str">
        <f t="shared" si="0"/>
        <v xml:space="preserve">PG1040968 </v>
      </c>
      <c r="B26" s="2" t="s">
        <v>31</v>
      </c>
      <c r="C26" s="2" t="s">
        <v>15</v>
      </c>
      <c r="D26" s="3">
        <v>0</v>
      </c>
      <c r="E26" s="3">
        <v>0</v>
      </c>
      <c r="F26" s="4">
        <v>430.5</v>
      </c>
      <c r="G26" s="4">
        <v>533</v>
      </c>
      <c r="H26" s="3">
        <v>0</v>
      </c>
      <c r="I26" s="3">
        <v>0</v>
      </c>
      <c r="J26" s="4">
        <v>-533</v>
      </c>
    </row>
    <row r="27" spans="1:10" ht="28" x14ac:dyDescent="0.15">
      <c r="A27" t="str">
        <f t="shared" si="0"/>
        <v xml:space="preserve">PG1040968 </v>
      </c>
      <c r="B27" s="2" t="s">
        <v>31</v>
      </c>
      <c r="C27" s="2" t="s">
        <v>16</v>
      </c>
      <c r="D27" s="3">
        <v>0</v>
      </c>
      <c r="E27" s="4">
        <v>49504.800000000003</v>
      </c>
      <c r="F27" s="3">
        <v>0</v>
      </c>
      <c r="G27" s="4">
        <v>7051.81</v>
      </c>
      <c r="H27" s="3">
        <v>0</v>
      </c>
      <c r="I27" s="3">
        <v>0</v>
      </c>
      <c r="J27" s="4">
        <v>42452.99</v>
      </c>
    </row>
    <row r="28" spans="1:10" ht="28" x14ac:dyDescent="0.15">
      <c r="A28" t="str">
        <f t="shared" si="0"/>
        <v xml:space="preserve">PG1040968 </v>
      </c>
      <c r="B28" s="2" t="s">
        <v>31</v>
      </c>
      <c r="C28" s="2" t="s">
        <v>32</v>
      </c>
      <c r="D28" s="3">
        <v>0</v>
      </c>
      <c r="E28" s="3">
        <v>0</v>
      </c>
      <c r="F28" s="3">
        <v>0</v>
      </c>
      <c r="G28" s="4">
        <v>649.59</v>
      </c>
      <c r="H28" s="3">
        <v>0</v>
      </c>
      <c r="I28" s="3">
        <v>0</v>
      </c>
      <c r="J28" s="4">
        <v>-649.59</v>
      </c>
    </row>
    <row r="29" spans="1:10" ht="28" x14ac:dyDescent="0.15">
      <c r="A29" t="str">
        <f t="shared" si="0"/>
        <v xml:space="preserve">PG1040968 </v>
      </c>
      <c r="B29" s="2" t="s">
        <v>31</v>
      </c>
      <c r="C29" s="2" t="s">
        <v>29</v>
      </c>
      <c r="D29" s="3">
        <v>0</v>
      </c>
      <c r="E29" s="3">
        <v>0</v>
      </c>
      <c r="F29" s="3">
        <v>0</v>
      </c>
      <c r="G29" s="4">
        <v>720</v>
      </c>
      <c r="H29" s="3">
        <v>0</v>
      </c>
      <c r="I29" s="3">
        <v>0</v>
      </c>
      <c r="J29" s="4">
        <v>-720</v>
      </c>
    </row>
    <row r="30" spans="1:10" ht="14" x14ac:dyDescent="0.15">
      <c r="A30" t="str">
        <f t="shared" si="0"/>
        <v>Total</v>
      </c>
      <c r="B30" s="2" t="s">
        <v>1</v>
      </c>
      <c r="C30" s="2"/>
      <c r="D30" s="3">
        <v>0</v>
      </c>
      <c r="E30" s="4">
        <v>1000008.04</v>
      </c>
      <c r="F30" s="4">
        <v>6209.13</v>
      </c>
      <c r="G30" s="4">
        <v>252571.41</v>
      </c>
      <c r="H30" s="4">
        <v>492370.25</v>
      </c>
      <c r="I30" s="3">
        <v>0</v>
      </c>
      <c r="J30" s="4">
        <v>255066.38</v>
      </c>
    </row>
  </sheetData>
  <mergeCells count="1">
    <mergeCell ref="D1:J1"/>
  </mergeCells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THIS </vt:lpstr>
      <vt:lpstr>Budget to Actuals 2.0 - Optimiz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Tiffany Kolchins</cp:lastModifiedBy>
  <dcterms:created xsi:type="dcterms:W3CDTF">2026-10-09T16:52:26Z</dcterms:created>
  <dcterms:modified xsi:type="dcterms:W3CDTF">2026-10-09T17:29:51Z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F5S|3488EBB8|6AC91BCA</vt:lpwstr>
  </property>
</Properties>
</file>